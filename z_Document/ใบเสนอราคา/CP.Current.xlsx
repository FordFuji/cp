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/>
  <mc:AlternateContent xmlns:mc="http://schemas.openxmlformats.org/markup-compatibility/2006">
    <mc:Choice Requires="x15">
      <x15ac:absPath xmlns:x15ac="http://schemas.microsoft.com/office/spreadsheetml/2010/11/ac" url="C:\xampp7429\htdocs\cp\z_Document\ใบเสนอราคา\"/>
    </mc:Choice>
  </mc:AlternateContent>
  <xr:revisionPtr revIDLastSave="0" documentId="13_ncr:1_{43B10C44-605D-4F6F-9039-4EE3E165751C}" xr6:coauthVersionLast="36" xr6:coauthVersionMax="36" xr10:uidLastSave="{00000000-0000-0000-0000-000000000000}"/>
  <bookViews>
    <workbookView xWindow="0" yWindow="680" windowWidth="28800" windowHeight="14700" xr2:uid="{00000000-000D-0000-FFFF-FFFF00000000}"/>
  </bookViews>
  <sheets>
    <sheet name="Sheet1" sheetId="1" r:id="rId1"/>
  </sheets>
  <definedNames>
    <definedName name="_xlnm.Print_Area" localSheetId="0">Sheet1!$A$1:$I$81</definedName>
  </definedNames>
  <calcPr calcId="191029"/>
</workbook>
</file>

<file path=xl/calcChain.xml><?xml version="1.0" encoding="utf-8"?>
<calcChain xmlns="http://schemas.openxmlformats.org/spreadsheetml/2006/main">
  <c r="I66" i="1" l="1"/>
  <c r="I69" i="1" l="1"/>
  <c r="I70" i="1" s="1"/>
  <c r="C70" i="1" s="1"/>
</calcChain>
</file>

<file path=xl/sharedStrings.xml><?xml version="1.0" encoding="utf-8"?>
<sst xmlns="http://schemas.openxmlformats.org/spreadsheetml/2006/main" count="236" uniqueCount="94">
  <si>
    <t>Orange Technology Solution Company Limited</t>
  </si>
  <si>
    <t>90/16 ถ.ศรีอยุธยา แขวงวชิรพยาบาล เขตดุสิต กรุงเทพมหานคร 10300</t>
  </si>
  <si>
    <t>90/16 Sriayuthaya Road, Vachirapayabaan, Dusit Bangkok 10300</t>
  </si>
  <si>
    <t>Tel. 0-2281-0931 , Fax. 0-22810931 ต่อ 105</t>
  </si>
  <si>
    <t>EMAIL : contact@orange-thailand.com , WEBSITE : www.orange-thailand.com</t>
  </si>
  <si>
    <t>เลขประจำตัวผู้เสียภาษี 0105558109750 : สำนักงานใหญ่</t>
  </si>
  <si>
    <t xml:space="preserve">ใบเสนอราคา/ใบสั่งซื้อ </t>
  </si>
  <si>
    <t xml:space="preserve">No : </t>
  </si>
  <si>
    <t>Quotation/Purchase Order</t>
  </si>
  <si>
    <t xml:space="preserve">Date : </t>
  </si>
  <si>
    <t xml:space="preserve">นามลูกค้า : </t>
  </si>
  <si>
    <t>มูลนิธิเจริญโภคภัณฑ์</t>
  </si>
  <si>
    <t>Customer Name :</t>
  </si>
  <si>
    <t>ที่อยู่ :</t>
  </si>
  <si>
    <t>313 อาคารซี.พี.ทาวเวอร์ ถนนสีลม แขวงสีลม เขตบางรัก  กรุงเทพฯ 10500</t>
  </si>
  <si>
    <t>Tel :</t>
  </si>
  <si>
    <t>085-666-0023</t>
  </si>
  <si>
    <t>Email :</t>
  </si>
  <si>
    <t>pimolmas.net@cp-scholarship.in.th</t>
  </si>
  <si>
    <t xml:space="preserve">Line : </t>
  </si>
  <si>
    <t>ลำดับ</t>
  </si>
  <si>
    <t>รายการ</t>
  </si>
  <si>
    <t>จำนวน</t>
  </si>
  <si>
    <t>ราคา/หน่วย</t>
  </si>
  <si>
    <t>จำนวนเงิน(บาท)</t>
  </si>
  <si>
    <t>Item</t>
  </si>
  <si>
    <t>Description</t>
  </si>
  <si>
    <t>Quantity</t>
  </si>
  <si>
    <t>Price/Unit</t>
  </si>
  <si>
    <t>Amount(Baht)</t>
  </si>
  <si>
    <t>ออกแบบเว็บไซต์องค์กร</t>
  </si>
  <si>
    <t>Design by HTML5/CSS (Responsive Design to PC/Smartphone/Tablet)</t>
  </si>
  <si>
    <t>Language Presentation : ไทย</t>
  </si>
  <si>
    <t>Site Map</t>
  </si>
  <si>
    <t>- Home</t>
  </si>
  <si>
    <t>- Current Scholars (Input data /Upload document) (เป็นการให้เด็ก นร ทุนมากรอกข้อมูลทั้งหมด)</t>
  </si>
  <si>
    <t xml:space="preserve">     - Login</t>
  </si>
  <si>
    <t xml:space="preserve">     - My Overview</t>
  </si>
  <si>
    <t xml:space="preserve">       - My Profile</t>
  </si>
  <si>
    <t xml:space="preserve">       - My Message</t>
  </si>
  <si>
    <t xml:space="preserve">       - My Study</t>
  </si>
  <si>
    <t xml:space="preserve">       - My Page - Folio</t>
  </si>
  <si>
    <t xml:space="preserve">       - My Page Diary</t>
  </si>
  <si>
    <t xml:space="preserve">     - My Learning Space</t>
  </si>
  <si>
    <t xml:space="preserve">       - My Improvement Plan</t>
  </si>
  <si>
    <t xml:space="preserve">       - My Courses</t>
  </si>
  <si>
    <t xml:space="preserve">       - My English update</t>
  </si>
  <si>
    <t xml:space="preserve">       - My Training </t>
  </si>
  <si>
    <t xml:space="preserve">       - My Project (Inno &amp; Udom)</t>
  </si>
  <si>
    <t xml:space="preserve">     - My Download</t>
  </si>
  <si>
    <t xml:space="preserve">       - Planning your project</t>
  </si>
  <si>
    <t xml:space="preserve">       - Form download</t>
  </si>
  <si>
    <t xml:space="preserve">       - Document download</t>
  </si>
  <si>
    <t xml:space="preserve">     - My Parttime Job</t>
  </si>
  <si>
    <t xml:space="preserve">       - Position</t>
  </si>
  <si>
    <t xml:space="preserve">       - Location</t>
  </si>
  <si>
    <t xml:space="preserve">       - Company</t>
  </si>
  <si>
    <t xml:space="preserve">       - Payment rate</t>
  </si>
  <si>
    <t>- Contact Us</t>
  </si>
  <si>
    <t xml:space="preserve">     - Enquiry form</t>
  </si>
  <si>
    <t>- Office Location</t>
  </si>
  <si>
    <t xml:space="preserve">     - Map</t>
  </si>
  <si>
    <t>Backend Programming by PHP with MySQL Database</t>
  </si>
  <si>
    <t>- สามารถเปลี่ยนแบนเนอร์สไลด์ได้</t>
  </si>
  <si>
    <t>- ระบบเก็บฐานข้อมูล นร ทุนที่กรอกข้อมูลและแนบเอกสารทั้งหมด</t>
  </si>
  <si>
    <t xml:space="preserve">     - สามารถค้นหา หรือ ดึงข้อมูลนร ทุน กรอกข้อมูล Export Excel , PDF File ได้</t>
  </si>
  <si>
    <t>ค่าบริการจดโดเมนเนมและโฮสติ้ง 40GB (รายปี)</t>
  </si>
  <si>
    <t>Action Timeline</t>
  </si>
  <si>
    <t>Payment term and condition :</t>
  </si>
  <si>
    <t>รวมเป็นเงิน</t>
  </si>
  <si>
    <r>
      <rPr>
        <sz val="12"/>
        <color rgb="FF000000"/>
        <rFont val="Noto Sans Symbols"/>
      </rPr>
      <t xml:space="preserve"> </t>
    </r>
    <r>
      <rPr>
        <sz val="12"/>
        <color rgb="FF000000"/>
        <rFont val="Cordia New"/>
        <family val="2"/>
      </rPr>
      <t xml:space="preserve">     Price Validity Within 60 Days</t>
    </r>
  </si>
  <si>
    <t>Gross Total</t>
  </si>
  <si>
    <t xml:space="preserve">              First Deposit 50% Before Start Project</t>
  </si>
  <si>
    <t xml:space="preserve">              Last Payment After Project Finished and Ready to Launched</t>
  </si>
  <si>
    <t>Value Added Tax</t>
  </si>
  <si>
    <t>Total :</t>
  </si>
  <si>
    <t>จำนวนเงินรวมทั้งสิ้น</t>
  </si>
  <si>
    <t>Net Amount</t>
  </si>
  <si>
    <t>ผู้เสนอราคา : อนุสรณ์ เต็มสกุลพงษ์</t>
  </si>
  <si>
    <t>ลงนามลูกค้า ......................................................................................</t>
  </si>
  <si>
    <t>Quoted Representative</t>
  </si>
  <si>
    <t>Customer Signature (                                                                       )</t>
  </si>
  <si>
    <t>หมายเหตุ</t>
  </si>
  <si>
    <r>
      <rPr>
        <sz val="12"/>
        <color rgb="FF000000"/>
        <rFont val="Noto Sans Symbols"/>
      </rPr>
      <t xml:space="preserve"> </t>
    </r>
    <r>
      <rPr>
        <sz val="12"/>
        <color rgb="FF000000"/>
        <rFont val="Cordia New"/>
        <family val="2"/>
      </rPr>
      <t>Kasikornbank : 0023518775 : Orange Technology Solution Company Limited</t>
    </r>
  </si>
  <si>
    <r>
      <rPr>
        <sz val="12"/>
        <color theme="1"/>
        <rFont val="Noto Sans Symbols"/>
      </rPr>
      <t xml:space="preserve"> </t>
    </r>
    <r>
      <rPr>
        <sz val="12"/>
        <color theme="1"/>
        <rFont val="Cordia New"/>
        <family val="2"/>
      </rPr>
      <t>Compatible With Browser : Safari / Firefox / Chrome</t>
    </r>
  </si>
  <si>
    <r>
      <rPr>
        <sz val="12"/>
        <color theme="1"/>
        <rFont val="Noto Sans Symbols"/>
      </rPr>
      <t></t>
    </r>
    <r>
      <rPr>
        <sz val="12"/>
        <color theme="1"/>
        <rFont val="Cordia New"/>
        <family val="2"/>
      </rPr>
      <t xml:space="preserve">     Maintenance 12 Month Conditions (By Remote Assistance to Hosting)</t>
    </r>
  </si>
  <si>
    <t xml:space="preserve">          - Structure Design Distortion</t>
  </si>
  <si>
    <t xml:space="preserve">          - Error From Programming</t>
  </si>
  <si>
    <r>
      <rPr>
        <sz val="12"/>
        <color rgb="FF000000"/>
        <rFont val="Noto Sans Symbols"/>
      </rPr>
      <t xml:space="preserve"> </t>
    </r>
    <r>
      <rPr>
        <sz val="12"/>
        <color rgb="FF000000"/>
        <rFont val="Cordia New"/>
        <family val="2"/>
      </rPr>
      <t>Sent All Source Code to be Solely License</t>
    </r>
  </si>
  <si>
    <t xml:space="preserve"> </t>
  </si>
  <si>
    <t>28/04/2022</t>
  </si>
  <si>
    <t>089.3/65</t>
  </si>
  <si>
    <t>1. ออกแบบเว็บไซต์ : 30 Days</t>
  </si>
  <si>
    <t>2. พัฒนาระบบหลังบ้าน : 15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</si>
</sst>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>
    <font>
      <sz val="12"/>
      <color theme="1"/>
      <name val="Arial"/>
      <scheme val="minor"/>
    </font>
    <font>
      <sz val="12"/>
      <color theme="1"/>
      <name val="Cordia New"/>
      <family val="2"/>
    </font>
    <font>
      <b/>
      <sz val="16"/>
      <color theme="1"/>
      <name val="Cordia New"/>
      <family val="2"/>
    </font>
    <font>
      <sz val="12"/>
      <name val="Arial"/>
      <family val="2"/>
    </font>
    <font>
      <b/>
      <sz val="12"/>
      <color theme="1"/>
      <name val="Cordia New"/>
      <family val="2"/>
    </font>
    <font>
      <sz val="12"/>
      <color rgb="FF000000"/>
      <name val="Cordia New"/>
      <family val="2"/>
    </font>
    <font>
      <sz val="12"/>
      <color rgb="FF0D0D0D"/>
      <name val="Cordia New"/>
      <family val="2"/>
    </font>
    <font>
      <u/>
      <sz val="12"/>
      <color theme="1"/>
      <name val="Cordia New"/>
      <family val="2"/>
    </font>
    <font>
      <sz val="12"/>
      <color rgb="FFFF0000"/>
      <name val="Cordia New"/>
      <family val="2"/>
    </font>
    <font>
      <u/>
      <sz val="12"/>
      <color theme="1"/>
      <name val="Cordia New"/>
      <family val="2"/>
    </font>
    <font>
      <b/>
      <sz val="12"/>
      <color rgb="FF000000"/>
      <name val="Cordia New"/>
      <family val="2"/>
    </font>
    <font>
      <sz val="12"/>
      <color rgb="FF000000"/>
      <name val="Noto Sans Symbols"/>
    </font>
    <font>
      <sz val="12"/>
      <color theme="1"/>
      <name val="Noto Sans Symbols"/>
    </font>
    <font>
      <sz val="12"/>
      <color rgb="FFFF6600"/>
      <name val="Cordia New"/>
      <family val="2"/>
    </font>
    <font>
      <u/>
      <sz val="12"/>
      <color theme="10"/>
      <name val="Arial"/>
      <family val="2"/>
      <scheme val="minor"/>
    </font>
    <font>
      <sz val="12"/>
      <color rgb="FF000000"/>
      <name val="Cordia New"/>
      <family val="2"/>
    </font>
    <font>
      <sz val="12"/>
      <color rgb="FFFF0000"/>
      <name val="Cordia New"/>
      <family val="2"/>
    </font>
    <font>
      <u/>
      <sz val="12"/>
      <color theme="10"/>
      <name val="Cordia New"/>
      <family val="2"/>
    </font>
  </fonts>
  <fills count="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69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4" fillId="0" borderId="0" xfId="0" applyFont="1"/>
    <xf numFmtId="0" fontId="1" fillId="0" borderId="0" xfId="0" applyFont="1" applyAlignment="1">
      <alignment vertical="center"/>
    </xf>
    <xf numFmtId="0" fontId="6" fillId="0" borderId="0" xfId="0" applyFont="1"/>
    <xf numFmtId="49" fontId="1" fillId="0" borderId="0" xfId="0" applyNumberFormat="1" applyFont="1"/>
    <xf numFmtId="0" fontId="4" fillId="0" borderId="8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4" fontId="1" fillId="0" borderId="8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49" fontId="1" fillId="0" borderId="16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4" fontId="1" fillId="0" borderId="15" xfId="0" applyNumberFormat="1" applyFont="1" applyBorder="1" applyAlignment="1">
      <alignment horizontal="center"/>
    </xf>
    <xf numFmtId="49" fontId="5" fillId="0" borderId="16" xfId="0" applyNumberFormat="1" applyFont="1" applyBorder="1" applyAlignment="1">
      <alignment horizontal="left"/>
    </xf>
    <xf numFmtId="49" fontId="7" fillId="0" borderId="16" xfId="0" applyNumberFormat="1" applyFont="1" applyBorder="1" applyAlignment="1">
      <alignment horizontal="left"/>
    </xf>
    <xf numFmtId="49" fontId="5" fillId="0" borderId="16" xfId="0" applyNumberFormat="1" applyFont="1" applyBorder="1" applyAlignment="1">
      <alignment horizontal="left"/>
    </xf>
    <xf numFmtId="49" fontId="8" fillId="0" borderId="16" xfId="0" applyNumberFormat="1" applyFont="1" applyBorder="1" applyAlignment="1">
      <alignment horizontal="left"/>
    </xf>
    <xf numFmtId="49" fontId="5" fillId="0" borderId="0" xfId="0" applyNumberFormat="1" applyFont="1" applyAlignment="1">
      <alignment horizontal="left"/>
    </xf>
    <xf numFmtId="49" fontId="9" fillId="0" borderId="0" xfId="0" applyNumberFormat="1" applyFont="1" applyAlignment="1">
      <alignment horizontal="left"/>
    </xf>
    <xf numFmtId="0" fontId="10" fillId="0" borderId="9" xfId="0" applyFont="1" applyBorder="1"/>
    <xf numFmtId="0" fontId="1" fillId="0" borderId="10" xfId="0" applyFont="1" applyBorder="1"/>
    <xf numFmtId="0" fontId="11" fillId="0" borderId="16" xfId="0" applyFont="1" applyBorder="1"/>
    <xf numFmtId="0" fontId="5" fillId="0" borderId="16" xfId="0" applyFont="1" applyBorder="1"/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43" fontId="1" fillId="0" borderId="15" xfId="0" applyNumberFormat="1" applyFont="1" applyBorder="1" applyAlignment="1">
      <alignment horizontal="center"/>
    </xf>
    <xf numFmtId="0" fontId="5" fillId="0" borderId="13" xfId="0" applyFont="1" applyBorder="1"/>
    <xf numFmtId="43" fontId="1" fillId="0" borderId="12" xfId="0" applyNumberFormat="1" applyFont="1" applyBorder="1" applyAlignment="1">
      <alignment horizontal="center"/>
    </xf>
    <xf numFmtId="0" fontId="1" fillId="0" borderId="9" xfId="0" applyFont="1" applyBorder="1"/>
    <xf numFmtId="0" fontId="1" fillId="0" borderId="11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7" xfId="0" applyFont="1" applyBorder="1"/>
    <xf numFmtId="0" fontId="12" fillId="0" borderId="16" xfId="0" applyFont="1" applyBorder="1"/>
    <xf numFmtId="0" fontId="1" fillId="0" borderId="16" xfId="0" applyFont="1" applyBorder="1"/>
    <xf numFmtId="0" fontId="11" fillId="0" borderId="13" xfId="0" applyFont="1" applyBorder="1"/>
    <xf numFmtId="0" fontId="1" fillId="3" borderId="18" xfId="0" applyFont="1" applyFill="1" applyBorder="1"/>
    <xf numFmtId="0" fontId="1" fillId="4" borderId="18" xfId="0" applyFont="1" applyFill="1" applyBorder="1"/>
    <xf numFmtId="0" fontId="13" fillId="0" borderId="0" xfId="0" applyFont="1"/>
    <xf numFmtId="49" fontId="15" fillId="0" borderId="0" xfId="0" applyNumberFormat="1" applyFont="1"/>
    <xf numFmtId="4" fontId="16" fillId="0" borderId="15" xfId="0" applyNumberFormat="1" applyFont="1" applyBorder="1" applyAlignment="1">
      <alignment horizontal="center"/>
    </xf>
    <xf numFmtId="0" fontId="17" fillId="0" borderId="0" xfId="1" applyFont="1" applyAlignment="1"/>
    <xf numFmtId="0" fontId="1" fillId="5" borderId="0" xfId="0" applyFont="1" applyFill="1"/>
    <xf numFmtId="0" fontId="1" fillId="5" borderId="15" xfId="0" applyFont="1" applyFill="1" applyBorder="1" applyAlignment="1">
      <alignment horizontal="center"/>
    </xf>
    <xf numFmtId="49" fontId="1" fillId="5" borderId="0" xfId="0" applyNumberFormat="1" applyFont="1" applyFill="1" applyAlignment="1">
      <alignment horizontal="left"/>
    </xf>
    <xf numFmtId="4" fontId="1" fillId="5" borderId="15" xfId="0" applyNumberFormat="1" applyFont="1" applyFill="1" applyBorder="1" applyAlignment="1">
      <alignment horizontal="center"/>
    </xf>
    <xf numFmtId="0" fontId="0" fillId="5" borderId="0" xfId="0" applyFont="1" applyFill="1" applyAlignment="1"/>
    <xf numFmtId="43" fontId="1" fillId="0" borderId="8" xfId="0" applyNumberFormat="1" applyFont="1" applyBorder="1" applyAlignment="1">
      <alignment horizontal="center"/>
    </xf>
    <xf numFmtId="0" fontId="3" fillId="0" borderId="12" xfId="0" applyFont="1" applyBorder="1"/>
    <xf numFmtId="0" fontId="4" fillId="0" borderId="13" xfId="0" applyFont="1" applyBorder="1" applyAlignment="1">
      <alignment horizontal="center"/>
    </xf>
    <xf numFmtId="0" fontId="3" fillId="0" borderId="14" xfId="0" applyFont="1" applyBorder="1"/>
    <xf numFmtId="0" fontId="2" fillId="2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2" fillId="2" borderId="5" xfId="0" applyFont="1" applyFill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4" fillId="0" borderId="9" xfId="0" applyFont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0" fontId="3" fillId="0" borderId="1" xfId="0" applyFont="1" applyBorder="1"/>
    <xf numFmtId="49" fontId="5" fillId="0" borderId="9" xfId="0" applyNumberFormat="1" applyFont="1" applyBorder="1" applyAlignment="1">
      <alignment horizontal="left"/>
    </xf>
    <xf numFmtId="0" fontId="2" fillId="0" borderId="9" xfId="0" applyFont="1" applyBorder="1" applyAlignment="1">
      <alignment horizontal="center"/>
    </xf>
    <xf numFmtId="0" fontId="3" fillId="0" borderId="13" xfId="0" applyFont="1" applyBorder="1"/>
    <xf numFmtId="43" fontId="1" fillId="0" borderId="10" xfId="0" applyNumberFormat="1" applyFont="1" applyBorder="1" applyAlignment="1">
      <alignment horizontal="center"/>
    </xf>
    <xf numFmtId="49" fontId="1" fillId="6" borderId="0" xfId="0" applyNumberFormat="1" applyFont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180975</xdr:rowOff>
    </xdr:from>
    <xdr:ext cx="752475" cy="704850"/>
    <xdr:pic>
      <xdr:nvPicPr>
        <xdr:cNvPr id="2" name="image1.jpg" descr="Logosmall [Converted]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pimolmas.net@cp-scholarship.in.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3"/>
  <sheetViews>
    <sheetView tabSelected="1" topLeftCell="A46" zoomScale="150" zoomScaleNormal="150" workbookViewId="0">
      <selection activeCell="D51" sqref="D51"/>
    </sheetView>
  </sheetViews>
  <sheetFormatPr defaultColWidth="10.15234375" defaultRowHeight="15" customHeight="1"/>
  <cols>
    <col min="1" max="1" width="2.3046875" customWidth="1"/>
    <col min="2" max="2" width="6.69140625" customWidth="1"/>
    <col min="3" max="5" width="10.69140625" customWidth="1"/>
    <col min="6" max="6" width="9.69140625" customWidth="1"/>
    <col min="7" max="7" width="6.15234375" customWidth="1"/>
    <col min="8" max="8" width="8.15234375" customWidth="1"/>
    <col min="9" max="9" width="8.84375" customWidth="1"/>
    <col min="10" max="24" width="10.69140625" customWidth="1"/>
    <col min="25" max="26" width="11.3046875" customWidth="1"/>
  </cols>
  <sheetData>
    <row r="1" spans="1:24" ht="15.75" customHeight="1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>
      <c r="A2" s="1"/>
      <c r="B2" s="1"/>
      <c r="C2" s="1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>
      <c r="A3" s="1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>
      <c r="A4" s="1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>
      <c r="A5" s="1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>
      <c r="A6" s="3"/>
      <c r="B6" s="3"/>
      <c r="C6" s="3" t="s">
        <v>5</v>
      </c>
      <c r="D6" s="3"/>
      <c r="E6" s="3"/>
      <c r="F6" s="3"/>
      <c r="G6" s="3"/>
      <c r="H6" s="3"/>
      <c r="I6" s="3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7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1" customHeight="1">
      <c r="A8" s="1"/>
      <c r="B8" s="54" t="s">
        <v>6</v>
      </c>
      <c r="C8" s="55"/>
      <c r="D8" s="55"/>
      <c r="E8" s="55"/>
      <c r="F8" s="56"/>
      <c r="G8" s="1"/>
      <c r="H8" s="4" t="s">
        <v>7</v>
      </c>
      <c r="I8" s="1" t="s">
        <v>91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21" customHeight="1">
      <c r="A9" s="1"/>
      <c r="B9" s="57" t="s">
        <v>8</v>
      </c>
      <c r="C9" s="58"/>
      <c r="D9" s="58"/>
      <c r="E9" s="58"/>
      <c r="F9" s="59"/>
      <c r="G9" s="1"/>
      <c r="H9" s="4" t="s">
        <v>9</v>
      </c>
      <c r="I9" s="42" t="s">
        <v>90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7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.75" customHeight="1">
      <c r="A11" s="1"/>
      <c r="B11" s="4" t="s">
        <v>10</v>
      </c>
      <c r="C11" s="5" t="s">
        <v>11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5.75" customHeight="1">
      <c r="A12" s="1"/>
      <c r="B12" s="4" t="s">
        <v>12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7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5.75" customHeight="1">
      <c r="A14" s="1"/>
      <c r="B14" s="4" t="s">
        <v>13</v>
      </c>
      <c r="C14" s="1" t="s">
        <v>14</v>
      </c>
      <c r="D14" s="1"/>
      <c r="E14" s="1"/>
      <c r="F14" s="1"/>
      <c r="G14" s="1"/>
      <c r="H14" s="4" t="s">
        <v>15</v>
      </c>
      <c r="I14" s="1" t="s">
        <v>16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5.75" customHeight="1">
      <c r="A15" s="1"/>
      <c r="B15" s="4"/>
      <c r="C15" s="6"/>
      <c r="D15" s="1"/>
      <c r="E15" s="1"/>
      <c r="F15" s="1"/>
      <c r="G15" s="1"/>
      <c r="H15" s="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5.75" customHeight="1">
      <c r="A16" s="1"/>
      <c r="B16" s="4" t="s">
        <v>17</v>
      </c>
      <c r="C16" s="44" t="s">
        <v>18</v>
      </c>
      <c r="D16" s="1"/>
      <c r="E16" s="1"/>
      <c r="F16" s="1"/>
      <c r="G16" s="1"/>
      <c r="H16" s="4" t="s">
        <v>19</v>
      </c>
      <c r="I16" s="7"/>
      <c r="J16" s="7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7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5.75" customHeight="1">
      <c r="A18" s="1"/>
      <c r="B18" s="8" t="s">
        <v>20</v>
      </c>
      <c r="C18" s="60" t="s">
        <v>21</v>
      </c>
      <c r="D18" s="61"/>
      <c r="E18" s="61"/>
      <c r="F18" s="62"/>
      <c r="G18" s="8" t="s">
        <v>22</v>
      </c>
      <c r="H18" s="8" t="s">
        <v>23</v>
      </c>
      <c r="I18" s="8" t="s">
        <v>24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5.75" customHeight="1">
      <c r="A19" s="1"/>
      <c r="B19" s="9" t="s">
        <v>25</v>
      </c>
      <c r="C19" s="52" t="s">
        <v>26</v>
      </c>
      <c r="D19" s="63"/>
      <c r="E19" s="63"/>
      <c r="F19" s="53"/>
      <c r="G19" s="9" t="s">
        <v>27</v>
      </c>
      <c r="H19" s="9" t="s">
        <v>28</v>
      </c>
      <c r="I19" s="9" t="s">
        <v>29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5.75" customHeight="1">
      <c r="A20" s="1"/>
      <c r="B20" s="10">
        <v>1</v>
      </c>
      <c r="C20" s="64" t="s">
        <v>30</v>
      </c>
      <c r="D20" s="61"/>
      <c r="E20" s="61"/>
      <c r="F20" s="62"/>
      <c r="G20" s="10">
        <v>1</v>
      </c>
      <c r="H20" s="11"/>
      <c r="I20" s="1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5.75" customHeight="1">
      <c r="A21" s="1"/>
      <c r="B21" s="12"/>
      <c r="C21" s="13" t="s">
        <v>31</v>
      </c>
      <c r="D21" s="14"/>
      <c r="E21" s="14"/>
      <c r="F21" s="14"/>
      <c r="G21" s="12"/>
      <c r="H21" s="15"/>
      <c r="I21" s="15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5.75" customHeight="1">
      <c r="A22" s="1"/>
      <c r="B22" s="12"/>
      <c r="C22" s="16" t="s">
        <v>32</v>
      </c>
      <c r="D22" s="14"/>
      <c r="E22" s="14"/>
      <c r="F22" s="14"/>
      <c r="G22" s="12"/>
      <c r="H22" s="15"/>
      <c r="I22" s="15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5.75" customHeight="1">
      <c r="A23" s="1"/>
      <c r="B23" s="12"/>
      <c r="C23" s="13"/>
      <c r="D23" s="14"/>
      <c r="E23" s="14"/>
      <c r="F23" s="14"/>
      <c r="G23" s="12"/>
      <c r="H23" s="15"/>
      <c r="I23" s="15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5.75" customHeight="1">
      <c r="A24" s="1"/>
      <c r="B24" s="12"/>
      <c r="C24" s="17" t="s">
        <v>33</v>
      </c>
      <c r="D24" s="14"/>
      <c r="E24" s="14"/>
      <c r="F24" s="14"/>
      <c r="G24" s="12"/>
      <c r="H24" s="15"/>
      <c r="I24" s="15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5.75" customHeight="1">
      <c r="A25" s="1"/>
      <c r="B25" s="12"/>
      <c r="C25" s="16" t="s">
        <v>34</v>
      </c>
      <c r="D25" s="14"/>
      <c r="E25" s="14"/>
      <c r="F25" s="14"/>
      <c r="G25" s="12"/>
      <c r="H25" s="15"/>
      <c r="I25" s="15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.75" customHeight="1">
      <c r="A26" s="1"/>
      <c r="B26" s="12"/>
      <c r="C26" s="13" t="s">
        <v>35</v>
      </c>
      <c r="D26" s="14"/>
      <c r="E26" s="14"/>
      <c r="F26" s="14"/>
      <c r="G26" s="12"/>
      <c r="H26" s="15"/>
      <c r="I26" s="15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5.75" customHeight="1">
      <c r="A27" s="1"/>
      <c r="B27" s="12"/>
      <c r="C27" s="18" t="s">
        <v>36</v>
      </c>
      <c r="D27" s="14"/>
      <c r="E27" s="14"/>
      <c r="F27" s="14"/>
      <c r="G27" s="12"/>
      <c r="H27" s="15"/>
      <c r="I27" s="15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5.75" customHeight="1">
      <c r="A28" s="1"/>
      <c r="B28" s="12"/>
      <c r="C28" s="16" t="s">
        <v>37</v>
      </c>
      <c r="D28" s="14"/>
      <c r="E28" s="14"/>
      <c r="F28" s="14"/>
      <c r="G28" s="12"/>
      <c r="H28" s="15"/>
      <c r="I28" s="15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.75" customHeight="1">
      <c r="A29" s="1"/>
      <c r="B29" s="12"/>
      <c r="C29" s="16" t="s">
        <v>38</v>
      </c>
      <c r="D29" s="14"/>
      <c r="E29" s="14"/>
      <c r="F29" s="14"/>
      <c r="G29" s="12"/>
      <c r="H29" s="15"/>
      <c r="I29" s="15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5.75" customHeight="1">
      <c r="A30" s="1"/>
      <c r="B30" s="12"/>
      <c r="C30" s="16" t="s">
        <v>39</v>
      </c>
      <c r="D30" s="14"/>
      <c r="E30" s="14"/>
      <c r="F30" s="14"/>
      <c r="G30" s="12"/>
      <c r="H30" s="15"/>
      <c r="I30" s="15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5.75" customHeight="1">
      <c r="A31" s="1"/>
      <c r="B31" s="12"/>
      <c r="C31" s="16" t="s">
        <v>40</v>
      </c>
      <c r="D31" s="14"/>
      <c r="E31" s="14"/>
      <c r="F31" s="14"/>
      <c r="G31" s="12"/>
      <c r="H31" s="15"/>
      <c r="I31" s="15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5.75" customHeight="1">
      <c r="A32" s="1"/>
      <c r="B32" s="12"/>
      <c r="C32" s="16" t="s">
        <v>41</v>
      </c>
      <c r="D32" s="14"/>
      <c r="E32" s="14"/>
      <c r="F32" s="14"/>
      <c r="G32" s="12"/>
      <c r="H32" s="15"/>
      <c r="I32" s="15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5.75" customHeight="1">
      <c r="A33" s="1"/>
      <c r="B33" s="12"/>
      <c r="C33" s="16" t="s">
        <v>42</v>
      </c>
      <c r="D33" s="14"/>
      <c r="E33" s="14"/>
      <c r="F33" s="14"/>
      <c r="G33" s="12"/>
      <c r="H33" s="15"/>
      <c r="I33" s="15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5.75" customHeight="1">
      <c r="A34" s="1"/>
      <c r="B34" s="12"/>
      <c r="C34" s="16" t="s">
        <v>43</v>
      </c>
      <c r="D34" s="14"/>
      <c r="E34" s="14"/>
      <c r="F34" s="14"/>
      <c r="G34" s="12"/>
      <c r="H34" s="15"/>
      <c r="I34" s="15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5.75" customHeight="1">
      <c r="A35" s="1"/>
      <c r="B35" s="12"/>
      <c r="C35" s="16" t="s">
        <v>44</v>
      </c>
      <c r="D35" s="14"/>
      <c r="E35" s="14"/>
      <c r="F35" s="14"/>
      <c r="G35" s="12"/>
      <c r="H35" s="15"/>
      <c r="I35" s="15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5.75" customHeight="1">
      <c r="A36" s="1"/>
      <c r="B36" s="12"/>
      <c r="C36" s="16" t="s">
        <v>45</v>
      </c>
      <c r="D36" s="14"/>
      <c r="E36" s="14"/>
      <c r="F36" s="14"/>
      <c r="G36" s="12"/>
      <c r="H36" s="15"/>
      <c r="I36" s="15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5.75" customHeight="1">
      <c r="A37" s="1"/>
      <c r="B37" s="12"/>
      <c r="C37" s="16" t="s">
        <v>46</v>
      </c>
      <c r="D37" s="14"/>
      <c r="E37" s="14"/>
      <c r="F37" s="14"/>
      <c r="G37" s="12"/>
      <c r="H37" s="15"/>
      <c r="I37" s="15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5.75" customHeight="1">
      <c r="A38" s="1"/>
      <c r="B38" s="12"/>
      <c r="C38" s="16" t="s">
        <v>47</v>
      </c>
      <c r="D38" s="14"/>
      <c r="E38" s="14"/>
      <c r="F38" s="14"/>
      <c r="G38" s="12"/>
      <c r="H38" s="15"/>
      <c r="I38" s="15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5.75" customHeight="1">
      <c r="A39" s="1"/>
      <c r="B39" s="12"/>
      <c r="C39" s="16" t="s">
        <v>48</v>
      </c>
      <c r="D39" s="14"/>
      <c r="E39" s="14"/>
      <c r="F39" s="14"/>
      <c r="G39" s="12"/>
      <c r="H39" s="15"/>
      <c r="I39" s="15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5.75" customHeight="1">
      <c r="A40" s="1"/>
      <c r="B40" s="12"/>
      <c r="C40" s="16" t="s">
        <v>49</v>
      </c>
      <c r="D40" s="14"/>
      <c r="E40" s="14"/>
      <c r="F40" s="14"/>
      <c r="G40" s="12"/>
      <c r="H40" s="15"/>
      <c r="I40" s="15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5.75" customHeight="1">
      <c r="A41" s="1"/>
      <c r="B41" s="12"/>
      <c r="C41" s="16" t="s">
        <v>50</v>
      </c>
      <c r="D41" s="14"/>
      <c r="E41" s="14"/>
      <c r="F41" s="14"/>
      <c r="G41" s="12"/>
      <c r="H41" s="15"/>
      <c r="I41" s="15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5.75" customHeight="1">
      <c r="A42" s="1"/>
      <c r="B42" s="12"/>
      <c r="C42" s="16" t="s">
        <v>51</v>
      </c>
      <c r="D42" s="14"/>
      <c r="E42" s="14"/>
      <c r="F42" s="14"/>
      <c r="G42" s="12"/>
      <c r="H42" s="15"/>
      <c r="I42" s="15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5.75" customHeight="1">
      <c r="A43" s="1"/>
      <c r="B43" s="12"/>
      <c r="C43" s="16" t="s">
        <v>52</v>
      </c>
      <c r="D43" s="14"/>
      <c r="E43" s="14"/>
      <c r="F43" s="14"/>
      <c r="G43" s="12"/>
      <c r="H43" s="15"/>
      <c r="I43" s="15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5.75" customHeight="1">
      <c r="A44" s="1"/>
      <c r="B44" s="12"/>
      <c r="C44" s="19" t="s">
        <v>53</v>
      </c>
      <c r="D44" s="14"/>
      <c r="E44" s="14"/>
      <c r="F44" s="14"/>
      <c r="G44" s="12"/>
      <c r="H44" s="15"/>
      <c r="I44" s="15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5.75" customHeight="1">
      <c r="A45" s="1"/>
      <c r="B45" s="12"/>
      <c r="C45" s="19" t="s">
        <v>54</v>
      </c>
      <c r="D45" s="14"/>
      <c r="E45" s="14"/>
      <c r="F45" s="14"/>
      <c r="G45" s="12"/>
      <c r="H45" s="15"/>
      <c r="I45" s="15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5.75" customHeight="1">
      <c r="A46" s="1"/>
      <c r="B46" s="12"/>
      <c r="C46" s="19" t="s">
        <v>55</v>
      </c>
      <c r="D46" s="14"/>
      <c r="E46" s="14"/>
      <c r="F46" s="14"/>
      <c r="G46" s="12"/>
      <c r="H46" s="15"/>
      <c r="I46" s="15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5.75" customHeight="1">
      <c r="A47" s="1"/>
      <c r="B47" s="12"/>
      <c r="C47" s="19" t="s">
        <v>56</v>
      </c>
      <c r="D47" s="14"/>
      <c r="E47" s="14"/>
      <c r="F47" s="14"/>
      <c r="G47" s="12"/>
      <c r="H47" s="15"/>
      <c r="I47" s="15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5.75" customHeight="1">
      <c r="A48" s="1"/>
      <c r="B48" s="12"/>
      <c r="C48" s="19" t="s">
        <v>57</v>
      </c>
      <c r="D48" s="14"/>
      <c r="E48" s="14"/>
      <c r="F48" s="14"/>
      <c r="G48" s="12"/>
      <c r="H48" s="15"/>
      <c r="I48" s="15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5.75" customHeight="1">
      <c r="A49" s="1"/>
      <c r="B49" s="12"/>
      <c r="C49" s="16" t="s">
        <v>58</v>
      </c>
      <c r="D49" s="14"/>
      <c r="E49" s="14"/>
      <c r="F49" s="14"/>
      <c r="G49" s="12"/>
      <c r="H49" s="15"/>
      <c r="I49" s="15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5.75" customHeight="1">
      <c r="A50" s="1"/>
      <c r="B50" s="12"/>
      <c r="C50" s="16" t="s">
        <v>59</v>
      </c>
      <c r="D50" s="14"/>
      <c r="E50" s="14"/>
      <c r="F50" s="14"/>
      <c r="G50" s="12"/>
      <c r="H50" s="15"/>
      <c r="I50" s="15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5.75" customHeight="1">
      <c r="A51" s="1"/>
      <c r="B51" s="12"/>
      <c r="C51" s="16" t="s">
        <v>60</v>
      </c>
      <c r="D51" s="14"/>
      <c r="E51" s="14"/>
      <c r="F51" s="14"/>
      <c r="G51" s="12"/>
      <c r="H51" s="15"/>
      <c r="I51" s="15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customHeight="1">
      <c r="A52" s="1"/>
      <c r="B52" s="12"/>
      <c r="C52" s="16" t="s">
        <v>61</v>
      </c>
      <c r="D52" s="14"/>
      <c r="E52" s="14"/>
      <c r="F52" s="14"/>
      <c r="G52" s="12"/>
      <c r="H52" s="15"/>
      <c r="I52" s="15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.75" customHeight="1">
      <c r="A53" s="1"/>
      <c r="B53" s="12"/>
      <c r="C53" s="20"/>
      <c r="D53" s="20"/>
      <c r="E53" s="20"/>
      <c r="F53" s="20"/>
      <c r="G53" s="12"/>
      <c r="H53" s="15"/>
      <c r="I53" s="15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customHeight="1">
      <c r="A54" s="1"/>
      <c r="B54" s="12"/>
      <c r="C54" s="14" t="s">
        <v>62</v>
      </c>
      <c r="D54" s="14"/>
      <c r="E54" s="14"/>
      <c r="F54" s="14"/>
      <c r="G54" s="12"/>
      <c r="H54" s="15"/>
      <c r="I54" s="4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customHeight="1">
      <c r="A55" s="1"/>
      <c r="B55" s="12"/>
      <c r="C55" s="68" t="s">
        <v>63</v>
      </c>
      <c r="D55" s="68"/>
      <c r="E55" s="68"/>
      <c r="F55" s="68"/>
      <c r="G55" s="12"/>
      <c r="H55" s="15"/>
      <c r="I55" s="15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5.75" customHeight="1">
      <c r="A56" s="1"/>
      <c r="B56" s="12"/>
      <c r="C56" s="14" t="s">
        <v>64</v>
      </c>
      <c r="D56" s="14"/>
      <c r="E56" s="14"/>
      <c r="F56" s="14"/>
      <c r="G56" s="12"/>
      <c r="H56" s="15"/>
      <c r="I56" s="15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5.75" customHeight="1">
      <c r="A57" s="1"/>
      <c r="B57" s="12"/>
      <c r="C57" s="14" t="s">
        <v>65</v>
      </c>
      <c r="D57" s="14"/>
      <c r="E57" s="14"/>
      <c r="F57" s="14"/>
      <c r="G57" s="12"/>
      <c r="H57" s="15"/>
      <c r="I57" s="15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5.75" customHeight="1">
      <c r="A58" s="1"/>
      <c r="B58" s="12"/>
      <c r="C58" s="14"/>
      <c r="D58" s="14"/>
      <c r="E58" s="14"/>
      <c r="F58" s="14"/>
      <c r="G58" s="12"/>
      <c r="H58" s="15"/>
      <c r="I58" s="15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s="49" customFormat="1" ht="15.75" customHeight="1">
      <c r="A59" s="45"/>
      <c r="B59" s="46">
        <v>3</v>
      </c>
      <c r="C59" s="47" t="s">
        <v>66</v>
      </c>
      <c r="D59" s="47"/>
      <c r="E59" s="47"/>
      <c r="F59" s="47"/>
      <c r="G59" s="46">
        <v>1</v>
      </c>
      <c r="H59" s="48"/>
      <c r="I59" s="48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</row>
    <row r="60" spans="1:24" ht="15.75" customHeight="1">
      <c r="A60" s="1"/>
      <c r="B60" s="12"/>
      <c r="C60" s="14"/>
      <c r="D60" s="14"/>
      <c r="E60" s="14"/>
      <c r="F60" s="14"/>
      <c r="G60" s="12"/>
      <c r="H60" s="15"/>
      <c r="I60" s="15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.75" customHeight="1">
      <c r="A61" s="1"/>
      <c r="B61" s="12"/>
      <c r="C61" s="21" t="s">
        <v>67</v>
      </c>
      <c r="D61" s="14"/>
      <c r="E61" s="14"/>
      <c r="F61" s="14"/>
      <c r="G61" s="12"/>
      <c r="H61" s="15"/>
      <c r="I61" s="15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.75" customHeight="1">
      <c r="A62" s="1"/>
      <c r="B62" s="12"/>
      <c r="C62" s="14" t="s">
        <v>92</v>
      </c>
      <c r="D62" s="14"/>
      <c r="E62" s="14"/>
      <c r="F62" s="14"/>
      <c r="G62" s="12"/>
      <c r="H62" s="15"/>
      <c r="I62" s="15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75" customHeight="1">
      <c r="A63" s="1"/>
      <c r="B63" s="12"/>
      <c r="C63" s="14" t="s">
        <v>93</v>
      </c>
      <c r="D63" s="14"/>
      <c r="E63" s="14"/>
      <c r="F63" s="14"/>
      <c r="G63" s="12"/>
      <c r="H63" s="15"/>
      <c r="I63" s="15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75" customHeight="1">
      <c r="A64" s="1"/>
      <c r="B64" s="12"/>
      <c r="C64" s="20"/>
      <c r="D64" s="14"/>
      <c r="E64" s="14"/>
      <c r="F64" s="14"/>
      <c r="G64" s="12"/>
      <c r="H64" s="15"/>
      <c r="I64" s="15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.75" customHeight="1">
      <c r="A65" s="1"/>
      <c r="B65" s="12"/>
      <c r="C65" s="14"/>
      <c r="D65" s="14"/>
      <c r="E65" s="14"/>
      <c r="F65" s="14"/>
      <c r="G65" s="12"/>
      <c r="H65" s="15"/>
      <c r="I65" s="15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75" customHeight="1">
      <c r="A66" s="1"/>
      <c r="B66" s="22" t="s">
        <v>68</v>
      </c>
      <c r="C66" s="23"/>
      <c r="D66" s="23"/>
      <c r="E66" s="23"/>
      <c r="F66" s="23"/>
      <c r="G66" s="60" t="s">
        <v>69</v>
      </c>
      <c r="H66" s="62"/>
      <c r="I66" s="50">
        <f>SUM(I20:I65)</f>
        <v>0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75" customHeight="1">
      <c r="A67" s="1"/>
      <c r="B67" s="24" t="s">
        <v>70</v>
      </c>
      <c r="C67" s="1"/>
      <c r="D67" s="1"/>
      <c r="E67" s="1"/>
      <c r="F67" s="1"/>
      <c r="G67" s="52" t="s">
        <v>71</v>
      </c>
      <c r="H67" s="53"/>
      <c r="I67" s="5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5.75" customHeight="1">
      <c r="A68" s="1"/>
      <c r="B68" s="25" t="s">
        <v>72</v>
      </c>
      <c r="C68" s="1"/>
      <c r="D68" s="1"/>
      <c r="E68" s="1"/>
      <c r="F68" s="1"/>
      <c r="G68" s="26"/>
      <c r="H68" s="27"/>
      <c r="I68" s="2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5.75" customHeight="1">
      <c r="A69" s="1"/>
      <c r="B69" s="29" t="s">
        <v>73</v>
      </c>
      <c r="C69" s="3"/>
      <c r="D69" s="3"/>
      <c r="E69" s="3"/>
      <c r="F69" s="3"/>
      <c r="G69" s="52" t="s">
        <v>74</v>
      </c>
      <c r="H69" s="53"/>
      <c r="I69" s="30">
        <f>I66*7/100</f>
        <v>0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.75" customHeight="1">
      <c r="A70" s="1"/>
      <c r="B70" s="65" t="s">
        <v>75</v>
      </c>
      <c r="C70" s="67" t="str">
        <f>BAHTTEXT(I70)</f>
        <v>ศูนย์บาทถ้วน</v>
      </c>
      <c r="D70" s="61"/>
      <c r="E70" s="61"/>
      <c r="F70" s="61"/>
      <c r="G70" s="60" t="s">
        <v>76</v>
      </c>
      <c r="H70" s="62"/>
      <c r="I70" s="50">
        <f>SUM(I66:I69)</f>
        <v>0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5.75" customHeight="1">
      <c r="A71" s="1"/>
      <c r="B71" s="66"/>
      <c r="C71" s="63"/>
      <c r="D71" s="63"/>
      <c r="E71" s="63"/>
      <c r="F71" s="63"/>
      <c r="G71" s="52" t="s">
        <v>77</v>
      </c>
      <c r="H71" s="53"/>
      <c r="I71" s="5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5.75" customHeight="1">
      <c r="A73" s="1"/>
      <c r="B73" s="31" t="s">
        <v>78</v>
      </c>
      <c r="C73" s="23"/>
      <c r="D73" s="23"/>
      <c r="E73" s="32"/>
      <c r="F73" s="31" t="s">
        <v>79</v>
      </c>
      <c r="G73" s="23"/>
      <c r="H73" s="23"/>
      <c r="I73" s="3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5.75" customHeight="1">
      <c r="A74" s="1"/>
      <c r="B74" s="33" t="s">
        <v>80</v>
      </c>
      <c r="C74" s="3"/>
      <c r="D74" s="3"/>
      <c r="E74" s="34"/>
      <c r="F74" s="33" t="s">
        <v>81</v>
      </c>
      <c r="G74" s="3"/>
      <c r="H74" s="3"/>
      <c r="I74" s="34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5.75" customHeight="1">
      <c r="A75" s="1"/>
      <c r="B75" s="22" t="s">
        <v>82</v>
      </c>
      <c r="C75" s="23"/>
      <c r="D75" s="23"/>
      <c r="E75" s="23"/>
      <c r="F75" s="23"/>
      <c r="G75" s="23"/>
      <c r="H75" s="23"/>
      <c r="I75" s="3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5.75" customHeight="1">
      <c r="A76" s="1"/>
      <c r="B76" s="24" t="s">
        <v>83</v>
      </c>
      <c r="C76" s="1"/>
      <c r="D76" s="1"/>
      <c r="E76" s="1"/>
      <c r="F76" s="1"/>
      <c r="G76" s="1"/>
      <c r="H76" s="1"/>
      <c r="I76" s="35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5.75" customHeight="1">
      <c r="A77" s="1"/>
      <c r="B77" s="36" t="s">
        <v>84</v>
      </c>
      <c r="C77" s="1"/>
      <c r="D77" s="1"/>
      <c r="E77" s="1"/>
      <c r="F77" s="1"/>
      <c r="G77" s="1"/>
      <c r="H77" s="1"/>
      <c r="I77" s="35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5.75" customHeight="1">
      <c r="A78" s="1"/>
      <c r="B78" s="36" t="s">
        <v>85</v>
      </c>
      <c r="C78" s="1"/>
      <c r="D78" s="1"/>
      <c r="E78" s="1"/>
      <c r="F78" s="1"/>
      <c r="G78" s="1"/>
      <c r="H78" s="1"/>
      <c r="I78" s="35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5.75" customHeight="1">
      <c r="A79" s="1"/>
      <c r="B79" s="37" t="s">
        <v>86</v>
      </c>
      <c r="C79" s="1"/>
      <c r="D79" s="1"/>
      <c r="E79" s="1"/>
      <c r="F79" s="1"/>
      <c r="G79" s="1"/>
      <c r="H79" s="1"/>
      <c r="I79" s="35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5.75" customHeight="1">
      <c r="A80" s="1"/>
      <c r="B80" s="25" t="s">
        <v>87</v>
      </c>
      <c r="C80" s="1"/>
      <c r="D80" s="1"/>
      <c r="E80" s="1"/>
      <c r="F80" s="1"/>
      <c r="G80" s="1"/>
      <c r="H80" s="1"/>
      <c r="I80" s="35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5.75" customHeight="1">
      <c r="A81" s="1"/>
      <c r="B81" s="38" t="s">
        <v>88</v>
      </c>
      <c r="C81" s="3"/>
      <c r="D81" s="3"/>
      <c r="E81" s="3"/>
      <c r="F81" s="3"/>
      <c r="G81" s="3"/>
      <c r="H81" s="3"/>
      <c r="I81" s="34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40"/>
      <c r="U120" s="40"/>
      <c r="V120" s="40"/>
      <c r="W120" s="40"/>
      <c r="X120" s="40"/>
    </row>
    <row r="121" spans="1:24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</row>
    <row r="192" spans="1:24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21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21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 t="s">
        <v>89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5.75" customHeight="1"/>
    <row r="500" spans="1:24" ht="15.75" customHeight="1"/>
    <row r="501" spans="1:24" ht="15.75" customHeight="1"/>
    <row r="502" spans="1:24" ht="15.75" customHeight="1"/>
    <row r="503" spans="1:24" ht="15.75" customHeight="1"/>
    <row r="504" spans="1:24" ht="15.75" customHeight="1"/>
    <row r="505" spans="1:24" ht="15.75" customHeight="1"/>
    <row r="506" spans="1:24" ht="15.75" customHeight="1"/>
    <row r="507" spans="1:24" ht="15.75" customHeight="1"/>
    <row r="508" spans="1:24" ht="15.75" customHeight="1"/>
    <row r="509" spans="1:24" ht="15.75" customHeight="1"/>
    <row r="510" spans="1:24" ht="15.75" customHeight="1"/>
    <row r="511" spans="1:24" ht="15.75" customHeight="1"/>
    <row r="512" spans="1:24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4">
    <mergeCell ref="I70:I71"/>
    <mergeCell ref="G71:H71"/>
    <mergeCell ref="B8:F8"/>
    <mergeCell ref="B9:F9"/>
    <mergeCell ref="C18:F18"/>
    <mergeCell ref="C19:F19"/>
    <mergeCell ref="C20:F20"/>
    <mergeCell ref="G66:H66"/>
    <mergeCell ref="I66:I67"/>
    <mergeCell ref="G67:H67"/>
    <mergeCell ref="G69:H69"/>
    <mergeCell ref="B70:B71"/>
    <mergeCell ref="C70:F71"/>
    <mergeCell ref="G70:H70"/>
  </mergeCells>
  <hyperlinks>
    <hyperlink ref="C16" r:id="rId1" xr:uid="{00000000-0004-0000-0000-000000000000}"/>
  </hyperlinks>
  <pageMargins left="0.36000000000000004" right="0.36000000000000004" top="0.21629921259842519" bottom="0.21629921259842519" header="0" footer="0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nu9903@hotmail.com</cp:lastModifiedBy>
  <cp:lastPrinted>2022-04-27T17:30:01Z</cp:lastPrinted>
  <dcterms:created xsi:type="dcterms:W3CDTF">2022-04-27T17:28:44Z</dcterms:created>
  <dcterms:modified xsi:type="dcterms:W3CDTF">2022-09-09T04:49:05Z</dcterms:modified>
</cp:coreProperties>
</file>